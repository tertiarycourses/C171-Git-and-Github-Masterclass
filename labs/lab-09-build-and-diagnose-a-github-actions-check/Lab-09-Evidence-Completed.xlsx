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 Brief" sheetId="1" state="visible" r:id="rId1"/>
    <sheet xmlns:r="http://schemas.openxmlformats.org/officeDocument/2006/relationships" name="Evidence Log" sheetId="2" state="visible" r:id="rId2"/>
    <sheet xmlns:r="http://schemas.openxmlformats.org/officeDocument/2006/relationships" name="Acceptance Check" sheetId="3" state="visible" r:id="rId3"/>
    <sheet xmlns:r="http://schemas.openxmlformats.org/officeDocument/2006/relationships" name="Command and Decision Log" sheetId="4" state="visible" r:id="rId4"/>
    <sheet xmlns:r="http://schemas.openxmlformats.org/officeDocument/2006/relationships" name="Dashboard" sheetId="5" state="visible" r:id="rId5"/>
  </sheets>
  <definedNames>
    <definedName name="_xlnm._FilterDatabase" localSheetId="1" hidden="1">'Evidence Log'!$A$4:$H$13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i val="1"/>
      <color rgb="005B6372"/>
      <sz val="10"/>
    </font>
    <font>
      <name val="Arial"/>
      <b val="1"/>
      <color rgb="001F6FEB"/>
      <sz val="10"/>
    </font>
    <font>
      <name val="Arial"/>
      <color rgb="00161B26"/>
      <sz val="10"/>
    </font>
    <font>
      <name val="Arial"/>
      <b val="1"/>
      <color rgb="00FFFFFF"/>
      <sz val="10"/>
    </font>
    <font>
      <name val="Arial"/>
      <color rgb="000000FF"/>
      <sz val="10"/>
    </font>
  </fonts>
  <fills count="8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F5F8FC"/>
      </patternFill>
    </fill>
    <fill>
      <patternFill patternType="solid">
        <fgColor rgb="0010B981"/>
      </patternFill>
    </fill>
    <fill>
      <patternFill patternType="solid">
        <fgColor rgb="00FFF7CC"/>
      </patternFill>
    </fill>
    <fill>
      <patternFill patternType="solid">
        <fgColor rgb="007C3AED"/>
      </patternFill>
    </fill>
    <fill>
      <patternFill patternType="solid">
        <fgColor rgb="00F59E0B"/>
      </patternFill>
    </fill>
  </fills>
  <borders count="2">
    <border>
      <left/>
      <right/>
      <top/>
      <bottom/>
      <diagonal/>
    </border>
    <border>
      <bottom style="thin">
        <color rgb="00DDE3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4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Completion vs Target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'Dashboard'!$A$5:$A$8</f>
            </numRef>
          </cat>
          <val>
            <numRef>
              <f>'Dashboard'!$B$5:$B$8</f>
            </numRef>
          </val>
        </ser>
        <ser>
          <idx val="1"/>
          <order val="1"/>
          <tx>
            <strRef>
              <f>'Dashboard'!C4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'Dashboard'!$A$5:$A$8</f>
            </numRef>
          </cat>
          <val>
            <numRef>
              <f>'Dashboard'!$C$5:$C$8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4" customHeight="1">
      <c r="A1" s="1" t="inlineStr">
        <is>
          <t>Lab 09 — Build and Diagnose a GitHub Actions Check</t>
        </is>
      </c>
    </row>
    <row r="2">
      <c r="A2" s="2" t="inlineStr">
        <is>
          <t>Git and Github Masterclass · C171 · Version v2.2</t>
        </is>
      </c>
    </row>
    <row r="4">
      <c r="A4" s="3" t="inlineStr">
        <is>
          <t>Exam domain</t>
        </is>
      </c>
      <c r="B4" s="4" t="inlineStr">
        <is>
          <t>Apply Modern Development Practices (10–15%)</t>
        </is>
      </c>
    </row>
    <row r="5">
      <c r="A5" s="3" t="inlineStr">
        <is>
          <t>Objective</t>
        </is>
      </c>
      <c r="B5" s="4" t="inlineStr">
        <is>
          <t>Automate a repeatable pull-request validation and use run evidence to diagnose failure.</t>
        </is>
      </c>
    </row>
    <row r="6">
      <c r="A6" s="3" t="inlineStr">
        <is>
          <t>Scenario</t>
        </is>
      </c>
      <c r="B6" s="4" t="inlineStr">
        <is>
          <t>Every documentation pull request must prove that README.md and SECURITY.md exist.</t>
        </is>
      </c>
    </row>
    <row r="7">
      <c r="A7" s="3" t="inlineStr">
        <is>
          <t>Deliverable</t>
        </is>
      </c>
      <c r="B7" s="4" t="inlineStr">
        <is>
          <t>A pull-request Actions workflow with successful and failed run evidence</t>
        </is>
      </c>
    </row>
    <row r="8">
      <c r="A8" s="3" t="inlineStr">
        <is>
          <t>Tools</t>
        </is>
      </c>
      <c r="B8" s="4" t="inlineStr">
        <is>
          <t>GitHub Actions, YAML, Git Bash, workflow logs, Excel workbook</t>
        </is>
      </c>
    </row>
    <row r="9">
      <c r="A9" s="3" t="inlineStr">
        <is>
          <t>Workbook status</t>
        </is>
      </c>
      <c r="B9" s="4" t="inlineStr">
        <is>
          <t>Completed sample — replace sample evidence with your own</t>
        </is>
      </c>
    </row>
  </sheetData>
  <mergeCells count="8">
    <mergeCell ref="B8:H8"/>
    <mergeCell ref="B9:H9"/>
    <mergeCell ref="B4:H4"/>
    <mergeCell ref="A2:H2"/>
    <mergeCell ref="B6:H6"/>
    <mergeCell ref="B7:H7"/>
    <mergeCell ref="A1:H1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28" customWidth="1" min="3" max="3"/>
    <col width="28" customWidth="1" min="4" max="4"/>
    <col width="38" customWidth="1" min="5" max="5"/>
    <col width="14" customWidth="1" min="6" max="6"/>
    <col width="28" customWidth="1" min="7" max="7"/>
    <col width="18" customWidth="1" min="8" max="8"/>
  </cols>
  <sheetData>
    <row r="1" ht="34" customHeight="1">
      <c r="A1" s="1" t="inlineStr">
        <is>
          <t>Evidence Log</t>
        </is>
      </c>
    </row>
    <row r="2">
      <c r="A2" s="2" t="inlineStr">
        <is>
          <t>Record what you did, the result, and where the evidence can be verified.</t>
        </is>
      </c>
    </row>
    <row r="4">
      <c r="A4" s="5" t="inlineStr">
        <is>
          <t>Step</t>
        </is>
      </c>
      <c r="B4" s="5" t="inlineStr">
        <is>
          <t>Action / decision</t>
        </is>
      </c>
      <c r="C4" s="5" t="inlineStr">
        <is>
          <t>Expected evidence</t>
        </is>
      </c>
      <c r="D4" s="5" t="inlineStr">
        <is>
          <t>Actual result</t>
        </is>
      </c>
      <c r="E4" s="5" t="inlineStr">
        <is>
          <t>URL / screenshot ref</t>
        </is>
      </c>
      <c r="F4" s="5" t="inlineStr">
        <is>
          <t>Status</t>
        </is>
      </c>
      <c r="G4" s="5" t="inlineStr">
        <is>
          <t>Reviewer notes</t>
        </is>
      </c>
      <c r="H4" s="5" t="inlineStr">
        <is>
          <t>Timestamp</t>
        </is>
      </c>
    </row>
    <row r="5">
      <c r="A5" s="6" t="n">
        <v>1</v>
      </c>
      <c r="B5" s="6" t="inlineStr">
        <is>
          <t>Inspect Actions workflow, event, job, step, action and runner relationships.</t>
        </is>
      </c>
      <c r="C5" s="6" t="inlineStr">
        <is>
          <t>Visible GitHub state, command output, or documented decision</t>
        </is>
      </c>
      <c r="D5" s="7" t="inlineStr">
        <is>
          <t>Sample evidence recorded</t>
        </is>
      </c>
      <c r="E5" s="7" t="inlineStr">
        <is>
          <t>https://github.com/example/evidence/lab-09/step-01</t>
        </is>
      </c>
      <c r="F5" s="7" t="inlineStr">
        <is>
          <t>Complete</t>
        </is>
      </c>
      <c r="G5" s="6" t="inlineStr">
        <is>
          <t>Meets acceptance criterion</t>
        </is>
      </c>
      <c r="H5" s="7" t="inlineStr">
        <is>
          <t>18 August 2026</t>
        </is>
      </c>
    </row>
    <row r="6">
      <c r="A6" s="6" t="n">
        <v>2</v>
      </c>
      <c r="B6" s="6" t="inlineStr">
        <is>
          <t>Create .github/workflows/validate.yml on a branch with pull_request and workflow_dispatch triggers.</t>
        </is>
      </c>
      <c r="C6" s="6" t="inlineStr">
        <is>
          <t>Visible GitHub state, command output, or documented decision</t>
        </is>
      </c>
      <c r="D6" s="7" t="inlineStr">
        <is>
          <t>Sample evidence recorded</t>
        </is>
      </c>
      <c r="E6" s="7" t="inlineStr">
        <is>
          <t>https://github.com/example/evidence/lab-09/step-02</t>
        </is>
      </c>
      <c r="F6" s="7" t="inlineStr">
        <is>
          <t>Complete</t>
        </is>
      </c>
      <c r="G6" s="6" t="inlineStr">
        <is>
          <t>Meets acceptance criterion</t>
        </is>
      </c>
      <c r="H6" s="7" t="inlineStr">
        <is>
          <t>18 August 2026</t>
        </is>
      </c>
    </row>
    <row r="7">
      <c r="A7" s="6" t="n">
        <v>3</v>
      </c>
      <c r="B7" s="6" t="inlineStr">
        <is>
          <t>Add checkout and shell-validation steps for README.md and SECURITY.md.</t>
        </is>
      </c>
      <c r="C7" s="6" t="inlineStr">
        <is>
          <t>Visible GitHub state, command output, or documented decision</t>
        </is>
      </c>
      <c r="D7" s="7" t="inlineStr">
        <is>
          <t>Sample evidence recorded</t>
        </is>
      </c>
      <c r="E7" s="7" t="inlineStr">
        <is>
          <t>https://github.com/example/evidence/lab-09/step-03</t>
        </is>
      </c>
      <c r="F7" s="7" t="inlineStr">
        <is>
          <t>Complete</t>
        </is>
      </c>
      <c r="G7" s="6" t="inlineStr">
        <is>
          <t>Meets acceptance criterion</t>
        </is>
      </c>
      <c r="H7" s="7" t="inlineStr">
        <is>
          <t>18 August 2026</t>
        </is>
      </c>
    </row>
    <row r="8">
      <c r="A8" s="6" t="n">
        <v>4</v>
      </c>
      <c r="B8" s="6" t="inlineStr">
        <is>
          <t>Commit and push the workflow branch, then open a pull request to trigger the run.</t>
        </is>
      </c>
      <c r="C8" s="6" t="inlineStr">
        <is>
          <t>Visible GitHub state, command output, or documented decision</t>
        </is>
      </c>
      <c r="D8" s="7" t="inlineStr">
        <is>
          <t>Sample evidence recorded</t>
        </is>
      </c>
      <c r="E8" s="7" t="inlineStr">
        <is>
          <t>https://github.com/example/evidence/lab-09/step-04</t>
        </is>
      </c>
      <c r="F8" s="7" t="inlineStr">
        <is>
          <t>Complete</t>
        </is>
      </c>
      <c r="G8" s="6" t="inlineStr">
        <is>
          <t>Meets acceptance criterion</t>
        </is>
      </c>
      <c r="H8" s="7" t="inlineStr">
        <is>
          <t>18 August 2026</t>
        </is>
      </c>
    </row>
    <row r="9">
      <c r="A9" s="6" t="n">
        <v>5</v>
      </c>
      <c r="B9" s="6" t="inlineStr">
        <is>
          <t>Inspect the run, job and step logs and record the commit SHA that the run evaluated.</t>
        </is>
      </c>
      <c r="C9" s="6" t="inlineStr">
        <is>
          <t>Visible GitHub state, command output, or documented decision</t>
        </is>
      </c>
      <c r="D9" s="7" t="inlineStr">
        <is>
          <t>Sample evidence recorded</t>
        </is>
      </c>
      <c r="E9" s="7" t="inlineStr">
        <is>
          <t>https://github.com/example/evidence/lab-09/step-05</t>
        </is>
      </c>
      <c r="F9" s="7" t="inlineStr">
        <is>
          <t>Complete</t>
        </is>
      </c>
      <c r="G9" s="6" t="inlineStr">
        <is>
          <t>Meets acceptance criterion</t>
        </is>
      </c>
      <c r="H9" s="7" t="inlineStr">
        <is>
          <t>18 August 2026</t>
        </is>
      </c>
    </row>
    <row r="10">
      <c r="A10" s="6" t="n">
        <v>6</v>
      </c>
      <c r="B10" s="6" t="inlineStr">
        <is>
          <t>Deliberately change the validation condition in a safe branch to produce one failed run.</t>
        </is>
      </c>
      <c r="C10" s="6" t="inlineStr">
        <is>
          <t>Visible GitHub state, command output, or documented decision</t>
        </is>
      </c>
      <c r="D10" s="7" t="inlineStr">
        <is>
          <t>Sample evidence recorded</t>
        </is>
      </c>
      <c r="E10" s="7" t="inlineStr">
        <is>
          <t>https://github.com/example/evidence/lab-09/step-06</t>
        </is>
      </c>
      <c r="F10" s="7" t="inlineStr">
        <is>
          <t>Complete</t>
        </is>
      </c>
      <c r="G10" s="6" t="inlineStr">
        <is>
          <t>Meets acceptance criterion</t>
        </is>
      </c>
      <c r="H10" s="7" t="inlineStr">
        <is>
          <t>18 August 2026</t>
        </is>
      </c>
    </row>
    <row r="11">
      <c r="A11" s="6" t="n">
        <v>7</v>
      </c>
      <c r="B11" s="6" t="inlineStr">
        <is>
          <t>Use the log evidence to correct the workflow and push a new commit.</t>
        </is>
      </c>
      <c r="C11" s="6" t="inlineStr">
        <is>
          <t>Visible GitHub state, command output, or documented decision</t>
        </is>
      </c>
      <c r="D11" s="7" t="inlineStr">
        <is>
          <t>Sample evidence recorded</t>
        </is>
      </c>
      <c r="E11" s="7" t="inlineStr">
        <is>
          <t>https://github.com/example/evidence/lab-09/step-07</t>
        </is>
      </c>
      <c r="F11" s="7" t="inlineStr">
        <is>
          <t>Complete</t>
        </is>
      </c>
      <c r="G11" s="6" t="inlineStr">
        <is>
          <t>Meets acceptance criterion</t>
        </is>
      </c>
      <c r="H11" s="7" t="inlineStr">
        <is>
          <t>18 August 2026</t>
        </is>
      </c>
    </row>
    <row r="12">
      <c r="A12" s="6" t="n">
        <v>8</v>
      </c>
      <c r="B12" s="6" t="inlineStr">
        <is>
          <t>Verify the pull request updates to a passing check and capture both run URLs.</t>
        </is>
      </c>
      <c r="C12" s="6" t="inlineStr">
        <is>
          <t>Visible GitHub state, command output, or documented decision</t>
        </is>
      </c>
      <c r="D12" s="7" t="inlineStr">
        <is>
          <t>Sample evidence recorded</t>
        </is>
      </c>
      <c r="E12" s="7" t="inlineStr">
        <is>
          <t>https://github.com/example/evidence/lab-09/step-08</t>
        </is>
      </c>
      <c r="F12" s="7" t="inlineStr">
        <is>
          <t>Complete</t>
        </is>
      </c>
      <c r="G12" s="6" t="inlineStr">
        <is>
          <t>Meets acceptance criterion</t>
        </is>
      </c>
      <c r="H12" s="7" t="inlineStr">
        <is>
          <t>18 August 2026</t>
        </is>
      </c>
    </row>
    <row r="13">
      <c r="A13" s="6" t="n">
        <v>9</v>
      </c>
      <c r="B13" s="6" t="inlineStr">
        <is>
          <t>Record trigger, job, failing step, diagnosis, correction and final status in Excel.</t>
        </is>
      </c>
      <c r="C13" s="6" t="inlineStr">
        <is>
          <t>Visible GitHub state, command output, or documented decision</t>
        </is>
      </c>
      <c r="D13" s="7" t="inlineStr">
        <is>
          <t>Sample evidence recorded</t>
        </is>
      </c>
      <c r="E13" s="7" t="inlineStr">
        <is>
          <t>https://github.com/example/evidence/lab-09/step-09</t>
        </is>
      </c>
      <c r="F13" s="7" t="inlineStr">
        <is>
          <t>Complete</t>
        </is>
      </c>
      <c r="G13" s="6" t="inlineStr">
        <is>
          <t>Meets acceptance criterion</t>
        </is>
      </c>
      <c r="H13" s="7" t="inlineStr">
        <is>
          <t>18 August 2026</t>
        </is>
      </c>
    </row>
  </sheetData>
  <autoFilter ref="A4:H13"/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6" customWidth="1" min="3" max="3"/>
    <col width="18" customWidth="1" min="4" max="4"/>
    <col width="32" customWidth="1" min="5" max="5"/>
  </cols>
  <sheetData>
    <row r="1" ht="34" customHeight="1">
      <c r="A1" s="1" t="inlineStr">
        <is>
          <t>Acceptance Check</t>
        </is>
      </c>
    </row>
    <row r="2">
      <c r="A2" s="2" t="inlineStr">
        <is>
          <t>The lab is complete only when every criterion is evidenced.</t>
        </is>
      </c>
    </row>
    <row r="4">
      <c r="A4" s="8" t="inlineStr">
        <is>
          <t>Criterion</t>
        </is>
      </c>
      <c r="B4" s="8" t="inlineStr">
        <is>
          <t>Evidence reference</t>
        </is>
      </c>
      <c r="C4" s="8" t="inlineStr">
        <is>
          <t>Self-check</t>
        </is>
      </c>
      <c r="D4" s="8" t="inlineStr">
        <is>
          <t>Reviewer decision</t>
        </is>
      </c>
      <c r="E4" s="8" t="inlineStr">
        <is>
          <t>Gap / next action</t>
        </is>
      </c>
    </row>
    <row r="5">
      <c r="A5" s="6" t="inlineStr">
        <is>
          <t>Workflow triggers on PR</t>
        </is>
      </c>
      <c r="B5" s="7" t="inlineStr">
        <is>
          <t>Evidence Log step 2</t>
        </is>
      </c>
      <c r="C5" s="7" t="inlineStr">
        <is>
          <t>Met</t>
        </is>
      </c>
      <c r="D5" s="6" t="inlineStr">
        <is>
          <t>Accepted</t>
        </is>
      </c>
      <c r="E5" s="7" t="inlineStr"/>
    </row>
    <row r="6">
      <c r="A6" s="6" t="inlineStr">
        <is>
          <t>Failure is diagnosed from logs</t>
        </is>
      </c>
      <c r="B6" s="7" t="inlineStr">
        <is>
          <t>Evidence Log step 4</t>
        </is>
      </c>
      <c r="C6" s="7" t="inlineStr">
        <is>
          <t>Met</t>
        </is>
      </c>
      <c r="D6" s="6" t="inlineStr">
        <is>
          <t>Accepted</t>
        </is>
      </c>
      <c r="E6" s="7" t="inlineStr"/>
    </row>
    <row r="7">
      <c r="A7" s="6" t="inlineStr">
        <is>
          <t>Corrected run passes</t>
        </is>
      </c>
      <c r="B7" s="7" t="inlineStr">
        <is>
          <t>Evidence Log step 6</t>
        </is>
      </c>
      <c r="C7" s="7" t="inlineStr">
        <is>
          <t>Met</t>
        </is>
      </c>
      <c r="D7" s="6" t="inlineStr">
        <is>
          <t>Accepted</t>
        </is>
      </c>
      <c r="E7" s="7" t="inlineStr"/>
    </row>
    <row r="8">
      <c r="A8" s="6" t="inlineStr">
        <is>
          <t>Run URLs and SHAs are captured</t>
        </is>
      </c>
      <c r="B8" s="7" t="inlineStr">
        <is>
          <t>Evidence Log step 8</t>
        </is>
      </c>
      <c r="C8" s="7" t="inlineStr">
        <is>
          <t>Met</t>
        </is>
      </c>
      <c r="D8" s="6" t="inlineStr">
        <is>
          <t>Accepted</t>
        </is>
      </c>
      <c r="E8" s="7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30" customWidth="1" min="3" max="3"/>
    <col width="30" customWidth="1" min="4" max="4"/>
    <col width="36" customWidth="1" min="5" max="5"/>
    <col width="28" customWidth="1" min="6" max="6"/>
  </cols>
  <sheetData>
    <row r="1" ht="34" customHeight="1">
      <c r="A1" s="1" t="inlineStr">
        <is>
          <t>Command and Decision Log</t>
        </is>
      </c>
    </row>
    <row r="2">
      <c r="A2" s="2" t="inlineStr">
        <is>
          <t>Use this sheet for Git commands, GitHub settings and reasoning.</t>
        </is>
      </c>
    </row>
    <row r="4">
      <c r="A4" s="9" t="inlineStr">
        <is>
          <t>No.</t>
        </is>
      </c>
      <c r="B4" s="9" t="inlineStr">
        <is>
          <t>Command / setting</t>
        </is>
      </c>
      <c r="C4" s="9" t="inlineStr">
        <is>
          <t>Purpose</t>
        </is>
      </c>
      <c r="D4" s="9" t="inlineStr">
        <is>
          <t>Result / output</t>
        </is>
      </c>
      <c r="E4" s="9" t="inlineStr">
        <is>
          <t>Decision / interpretation</t>
        </is>
      </c>
      <c r="F4" s="9" t="inlineStr">
        <is>
          <t>Evidence ref</t>
        </is>
      </c>
    </row>
    <row r="5">
      <c r="A5" s="6" t="n">
        <v>1</v>
      </c>
      <c r="B5" s="7" t="inlineStr">
        <is>
          <t>Verification</t>
        </is>
      </c>
      <c r="C5" s="7" t="inlineStr">
        <is>
          <t>Confirm final state</t>
        </is>
      </c>
      <c r="D5" s="7" t="inlineStr">
        <is>
          <t>Passed</t>
        </is>
      </c>
      <c r="E5" s="7" t="inlineStr">
        <is>
          <t>Acceptance criterion met</t>
        </is>
      </c>
      <c r="F5" s="7" t="inlineStr">
        <is>
          <t>Acceptance Check</t>
        </is>
      </c>
    </row>
    <row r="6">
      <c r="A6" s="6" t="n">
        <v>2</v>
      </c>
      <c r="B6" s="7" t="inlineStr">
        <is>
          <t>Verification</t>
        </is>
      </c>
      <c r="C6" s="7" t="inlineStr">
        <is>
          <t>Confirm final state</t>
        </is>
      </c>
      <c r="D6" s="7" t="inlineStr">
        <is>
          <t>Passed</t>
        </is>
      </c>
      <c r="E6" s="7" t="inlineStr">
        <is>
          <t>Acceptance criterion met</t>
        </is>
      </c>
      <c r="F6" s="7" t="inlineStr">
        <is>
          <t>Acceptance Check</t>
        </is>
      </c>
    </row>
    <row r="7">
      <c r="A7" s="6" t="n">
        <v>3</v>
      </c>
      <c r="B7" s="7" t="n"/>
      <c r="C7" s="7" t="n"/>
      <c r="D7" s="7" t="n"/>
      <c r="E7" s="7" t="n"/>
      <c r="F7" s="7" t="n"/>
    </row>
    <row r="8">
      <c r="A8" s="6" t="n">
        <v>4</v>
      </c>
      <c r="B8" s="7" t="n"/>
      <c r="C8" s="7" t="n"/>
      <c r="D8" s="7" t="n"/>
      <c r="E8" s="7" t="n"/>
      <c r="F8" s="7" t="n"/>
    </row>
    <row r="9">
      <c r="A9" s="6" t="n">
        <v>5</v>
      </c>
      <c r="B9" s="7" t="n"/>
      <c r="C9" s="7" t="n"/>
      <c r="D9" s="7" t="n"/>
      <c r="E9" s="7" t="n"/>
      <c r="F9" s="7" t="n"/>
    </row>
    <row r="10">
      <c r="A10" s="6" t="n">
        <v>6</v>
      </c>
      <c r="B10" s="7" t="n"/>
      <c r="C10" s="7" t="n"/>
      <c r="D10" s="7" t="n"/>
      <c r="E10" s="7" t="n"/>
      <c r="F10" s="7" t="n"/>
    </row>
    <row r="11">
      <c r="A11" s="6" t="n">
        <v>7</v>
      </c>
      <c r="B11" s="7" t="n"/>
      <c r="C11" s="7" t="n"/>
      <c r="D11" s="7" t="n"/>
      <c r="E11" s="7" t="n"/>
      <c r="F11" s="7" t="n"/>
    </row>
    <row r="12">
      <c r="A12" s="6" t="n">
        <v>8</v>
      </c>
      <c r="B12" s="7" t="n"/>
      <c r="C12" s="7" t="n"/>
      <c r="D12" s="7" t="n"/>
      <c r="E12" s="7" t="n"/>
      <c r="F12" s="7" t="n"/>
    </row>
    <row r="13">
      <c r="A13" s="6" t="n">
        <v>9</v>
      </c>
      <c r="B13" s="7" t="n"/>
      <c r="C13" s="7" t="n"/>
      <c r="D13" s="7" t="n"/>
      <c r="E13" s="7" t="n"/>
      <c r="F13" s="7" t="n"/>
    </row>
    <row r="14">
      <c r="A14" s="6" t="n">
        <v>10</v>
      </c>
      <c r="B14" s="7" t="n"/>
      <c r="C14" s="7" t="n"/>
      <c r="D14" s="7" t="n"/>
      <c r="E14" s="7" t="n"/>
      <c r="F14" s="7" t="n"/>
    </row>
    <row r="15">
      <c r="A15" s="6" t="n">
        <v>11</v>
      </c>
      <c r="B15" s="7" t="n"/>
      <c r="C15" s="7" t="n"/>
      <c r="D15" s="7" t="n"/>
      <c r="E15" s="7" t="n"/>
      <c r="F15" s="7" t="n"/>
    </row>
    <row r="16">
      <c r="A16" s="6" t="n">
        <v>12</v>
      </c>
      <c r="B16" s="7" t="n"/>
      <c r="C16" s="7" t="n"/>
      <c r="D16" s="7" t="n"/>
      <c r="E16" s="7" t="n"/>
      <c r="F16" s="7" t="n"/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</cols>
  <sheetData>
    <row r="1" ht="34" customHeight="1">
      <c r="A1" s="1" t="inlineStr">
        <is>
          <t>Lab Dashboard</t>
        </is>
      </c>
    </row>
    <row r="2">
      <c r="A2" s="2" t="inlineStr">
        <is>
          <t>Formula-driven completion and evidence summary.</t>
        </is>
      </c>
    </row>
    <row r="4">
      <c r="A4" s="5" t="inlineStr">
        <is>
          <t>Metric</t>
        </is>
      </c>
      <c r="B4" s="5" t="inlineStr">
        <is>
          <t>Value</t>
        </is>
      </c>
      <c r="C4" s="5" t="inlineStr">
        <is>
          <t>Target</t>
        </is>
      </c>
      <c r="D4" s="5" t="inlineStr">
        <is>
          <t>Status</t>
        </is>
      </c>
    </row>
    <row r="5">
      <c r="A5" s="6" t="inlineStr">
        <is>
          <t>Steps complete</t>
        </is>
      </c>
      <c r="B5" s="6">
        <f>COUNTIF('Evidence Log'!F5:F13,"Complete")</f>
        <v/>
      </c>
      <c r="C5" s="6" t="n">
        <v>9</v>
      </c>
      <c r="D5" s="6">
        <f>IF(B5&gt;=C5,"Met","Gap")</f>
        <v/>
      </c>
    </row>
    <row r="6">
      <c r="A6" s="6" t="inlineStr">
        <is>
          <t>Evidence links</t>
        </is>
      </c>
      <c r="B6" s="6">
        <f>COUNTIF('Evidence Log'!E5:E13,"?*")</f>
        <v/>
      </c>
      <c r="C6" s="6" t="n">
        <v>9</v>
      </c>
      <c r="D6" s="6">
        <f>IF(B6&gt;=C6,"Met","Gap")</f>
        <v/>
      </c>
    </row>
    <row r="7">
      <c r="A7" s="6" t="inlineStr">
        <is>
          <t>Criteria accepted</t>
        </is>
      </c>
      <c r="B7" s="6">
        <f>COUNTIF('Acceptance Check'!D5:D8,"Accepted")</f>
        <v/>
      </c>
      <c r="C7" s="6" t="n">
        <v>4</v>
      </c>
      <c r="D7" s="6">
        <f>IF(B7&gt;=C7,"Met","Gap")</f>
        <v/>
      </c>
    </row>
    <row r="8">
      <c r="A8" s="6" t="inlineStr">
        <is>
          <t>Reviewer notes</t>
        </is>
      </c>
      <c r="B8" s="6">
        <f>COUNTIF('Evidence Log'!G5:G13,"?*")</f>
        <v/>
      </c>
      <c r="C8" s="6" t="n">
        <v>9</v>
      </c>
      <c r="D8" s="6">
        <f>IF(B8&gt;=C8,"Met","Gap")</f>
        <v/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2026-08-18T12:01:55Z</dcterms:created>
  <dcterms:modified xmlns:dcterms="http://purl.org/dc/terms/" xmlns:xsi="http://www.w3.org/2001/XMLSchema-instance" xsi:type="dcterms:W3CDTF">2026-08-18T12:01:55Z</dcterms:modified>
</cp:coreProperties>
</file>