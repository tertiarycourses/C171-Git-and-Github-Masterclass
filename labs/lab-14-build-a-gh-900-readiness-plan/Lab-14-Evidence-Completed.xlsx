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  <sheet xmlns:r="http://schemas.openxmlformats.org/officeDocument/2006/relationships" name="Exam Readiness" sheetId="6" state="visible" r:id="rId6"/>
  </sheets>
  <definedNames>
    <definedName name="_xlnm._FilterDatabase" localSheetId="1" hidden="1">'Evidence Log'!$A$4:$H$13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164" fontId="4" fillId="0" borderId="1" applyAlignment="1" pivotButton="0" quotePrefix="0" xfId="0">
      <alignment vertical="top" wrapText="1"/>
    </xf>
    <xf numFmtId="164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Revision Priority by Domain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'Exam Readiness'!F4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'Exam Readiness'!$A$5:$A$11</f>
            </numRef>
          </cat>
          <val>
            <numRef>
              <f>'Exam Readiness'!$F$5:$F$11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Weighted gap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3</row>
      <rowOff>0</rowOff>
    </from>
    <ext cx="612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14 — Build a GH-900 Readiness Plan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Explore the GitHub Community (5–10%)</t>
        </is>
      </c>
    </row>
    <row r="5">
      <c r="A5" s="3" t="inlineStr">
        <is>
          <t>Objective</t>
        </is>
      </c>
      <c r="B5" s="4" t="inlineStr">
        <is>
          <t>Use evidence and weighted scores to close exam-readiness gaps by domain.</t>
        </is>
      </c>
    </row>
    <row r="6">
      <c r="A6" s="3" t="inlineStr">
        <is>
          <t>Scenario</t>
        </is>
      </c>
      <c r="B6" s="4" t="inlineStr">
        <is>
          <t>The learner has completed the practical work and needs a targeted final revision plan.</t>
        </is>
      </c>
    </row>
    <row r="7">
      <c r="A7" s="3" t="inlineStr">
        <is>
          <t>Deliverable</t>
        </is>
      </c>
      <c r="B7" s="4" t="inlineStr">
        <is>
          <t>A weighted GH-900 readiness dashboard and two-day revision plan</t>
        </is>
      </c>
    </row>
    <row r="8">
      <c r="A8" s="3" t="inlineStr">
        <is>
          <t>Tools</t>
        </is>
      </c>
      <c r="B8" s="4" t="inlineStr">
        <is>
          <t>Official Microsoft practice assessment, Tertiary practice exam, Excel readiness dashboard</t>
        </is>
      </c>
    </row>
    <row r="9">
      <c r="A9" s="3" t="inlineStr">
        <is>
          <t>Workbook status</t>
        </is>
      </c>
      <c r="B9" s="4" t="inlineStr">
        <is>
          <t>Completed sample — replace sample evidence with your own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Complete the official Microsoft practice assessment under timed, distraction-free conditions.</t>
        </is>
      </c>
      <c r="C5" s="6" t="inlineStr">
        <is>
          <t>Visible GitHub state, command output, or documented decision</t>
        </is>
      </c>
      <c r="D5" s="7" t="inlineStr">
        <is>
          <t>Sample evidence recorded</t>
        </is>
      </c>
      <c r="E5" s="7" t="inlineStr">
        <is>
          <t>https://github.com/example/evidence/lab-14/step-01</t>
        </is>
      </c>
      <c r="F5" s="7" t="inlineStr">
        <is>
          <t>Complete</t>
        </is>
      </c>
      <c r="G5" s="6" t="inlineStr">
        <is>
          <t>Meets acceptance criterion</t>
        </is>
      </c>
      <c r="H5" s="7" t="inlineStr">
        <is>
          <t>18 August 2026</t>
        </is>
      </c>
    </row>
    <row r="6">
      <c r="A6" s="6" t="n">
        <v>2</v>
      </c>
      <c r="B6" s="6" t="inlineStr">
        <is>
          <t>Complete the Tertiary practice exam and record the date, mode and total score.</t>
        </is>
      </c>
      <c r="C6" s="6" t="inlineStr">
        <is>
          <t>Visible GitHub state, command output, or documented decision</t>
        </is>
      </c>
      <c r="D6" s="7" t="inlineStr">
        <is>
          <t>Sample evidence recorded</t>
        </is>
      </c>
      <c r="E6" s="7" t="inlineStr">
        <is>
          <t>https://github.com/example/evidence/lab-14/step-02</t>
        </is>
      </c>
      <c r="F6" s="7" t="inlineStr">
        <is>
          <t>Complete</t>
        </is>
      </c>
      <c r="G6" s="6" t="inlineStr">
        <is>
          <t>Meets acceptance criterion</t>
        </is>
      </c>
      <c r="H6" s="7" t="inlineStr">
        <is>
          <t>18 August 2026</t>
        </is>
      </c>
    </row>
    <row r="7">
      <c r="A7" s="6" t="n">
        <v>3</v>
      </c>
      <c r="B7" s="6" t="inlineStr">
        <is>
          <t>Enter each domain score in the Excel Exam Readiness sheet.</t>
        </is>
      </c>
      <c r="C7" s="6" t="inlineStr">
        <is>
          <t>Visible GitHub state, command output, or documented decision</t>
        </is>
      </c>
      <c r="D7" s="7" t="inlineStr">
        <is>
          <t>Sample evidence recorded</t>
        </is>
      </c>
      <c r="E7" s="7" t="inlineStr">
        <is>
          <t>https://github.com/example/evidence/lab-14/step-03</t>
        </is>
      </c>
      <c r="F7" s="7" t="inlineStr">
        <is>
          <t>Complete</t>
        </is>
      </c>
      <c r="G7" s="6" t="inlineStr">
        <is>
          <t>Meets acceptance criterion</t>
        </is>
      </c>
      <c r="H7" s="7" t="inlineStr">
        <is>
          <t>18 August 2026</t>
        </is>
      </c>
    </row>
    <row r="8">
      <c r="A8" s="6" t="n">
        <v>4</v>
      </c>
      <c r="B8" s="6" t="inlineStr">
        <is>
          <t>Review the weighted priority calculation and identify the top three revision domains.</t>
        </is>
      </c>
      <c r="C8" s="6" t="inlineStr">
        <is>
          <t>Visible GitHub state, command output, or documented decision</t>
        </is>
      </c>
      <c r="D8" s="7" t="inlineStr">
        <is>
          <t>Sample evidence recorded</t>
        </is>
      </c>
      <c r="E8" s="7" t="inlineStr">
        <is>
          <t>https://github.com/example/evidence/lab-14/step-04</t>
        </is>
      </c>
      <c r="F8" s="7" t="inlineStr">
        <is>
          <t>Complete</t>
        </is>
      </c>
      <c r="G8" s="6" t="inlineStr">
        <is>
          <t>Meets acceptance criterion</t>
        </is>
      </c>
      <c r="H8" s="7" t="inlineStr">
        <is>
          <t>18 August 2026</t>
        </is>
      </c>
    </row>
    <row r="9">
      <c r="A9" s="6" t="n">
        <v>5</v>
      </c>
      <c r="B9" s="6" t="inlineStr">
        <is>
          <t>Link each weak objective to a relevant slide, Learner Guide section and lab evidence item.</t>
        </is>
      </c>
      <c r="C9" s="6" t="inlineStr">
        <is>
          <t>Visible GitHub state, command output, or documented decision</t>
        </is>
      </c>
      <c r="D9" s="7" t="inlineStr">
        <is>
          <t>Sample evidence recorded</t>
        </is>
      </c>
      <c r="E9" s="7" t="inlineStr">
        <is>
          <t>https://github.com/example/evidence/lab-14/step-05</t>
        </is>
      </c>
      <c r="F9" s="7" t="inlineStr">
        <is>
          <t>Complete</t>
        </is>
      </c>
      <c r="G9" s="6" t="inlineStr">
        <is>
          <t>Meets acceptance criterion</t>
        </is>
      </c>
      <c r="H9" s="7" t="inlineStr">
        <is>
          <t>18 August 2026</t>
        </is>
      </c>
    </row>
    <row r="10">
      <c r="A10" s="6" t="n">
        <v>6</v>
      </c>
      <c r="B10" s="6" t="inlineStr">
        <is>
          <t>Redo at least one command or configuration task from each priority domain without copying the previous procedure.</t>
        </is>
      </c>
      <c r="C10" s="6" t="inlineStr">
        <is>
          <t>Visible GitHub state, command output, or documented decision</t>
        </is>
      </c>
      <c r="D10" s="7" t="inlineStr">
        <is>
          <t>Sample evidence recorded</t>
        </is>
      </c>
      <c r="E10" s="7" t="inlineStr">
        <is>
          <t>https://github.com/example/evidence/lab-14/step-06</t>
        </is>
      </c>
      <c r="F10" s="7" t="inlineStr">
        <is>
          <t>Complete</t>
        </is>
      </c>
      <c r="G10" s="6" t="inlineStr">
        <is>
          <t>Meets acceptance criterion</t>
        </is>
      </c>
      <c r="H10" s="7" t="inlineStr">
        <is>
          <t>18 August 2026</t>
        </is>
      </c>
    </row>
    <row r="11">
      <c r="A11" s="6" t="n">
        <v>7</v>
      </c>
      <c r="B11" s="6" t="inlineStr">
        <is>
          <t>Write a two-day study plan with specific objectives, activities and retest times.</t>
        </is>
      </c>
      <c r="C11" s="6" t="inlineStr">
        <is>
          <t>Visible GitHub state, command output, or documented decision</t>
        </is>
      </c>
      <c r="D11" s="7" t="inlineStr">
        <is>
          <t>Sample evidence recorded</t>
        </is>
      </c>
      <c r="E11" s="7" t="inlineStr">
        <is>
          <t>https://github.com/example/evidence/lab-14/step-07</t>
        </is>
      </c>
      <c r="F11" s="7" t="inlineStr">
        <is>
          <t>Complete</t>
        </is>
      </c>
      <c r="G11" s="6" t="inlineStr">
        <is>
          <t>Meets acceptance criterion</t>
        </is>
      </c>
      <c r="H11" s="7" t="inlineStr">
        <is>
          <t>18 August 2026</t>
        </is>
      </c>
    </row>
    <row r="12">
      <c r="A12" s="6" t="n">
        <v>8</v>
      </c>
      <c r="B12" s="6" t="inlineStr">
        <is>
          <t>Confirm the booking, personal Microsoft account, accepted ID and exam-environment requirements.</t>
        </is>
      </c>
      <c r="C12" s="6" t="inlineStr">
        <is>
          <t>Visible GitHub state, command output, or documented decision</t>
        </is>
      </c>
      <c r="D12" s="7" t="inlineStr">
        <is>
          <t>Sample evidence recorded</t>
        </is>
      </c>
      <c r="E12" s="7" t="inlineStr">
        <is>
          <t>https://github.com/example/evidence/lab-14/step-08</t>
        </is>
      </c>
      <c r="F12" s="7" t="inlineStr">
        <is>
          <t>Complete</t>
        </is>
      </c>
      <c r="G12" s="6" t="inlineStr">
        <is>
          <t>Meets acceptance criterion</t>
        </is>
      </c>
      <c r="H12" s="7" t="inlineStr">
        <is>
          <t>18 August 2026</t>
        </is>
      </c>
    </row>
    <row r="13">
      <c r="A13" s="6" t="n">
        <v>9</v>
      </c>
      <c r="B13" s="6" t="inlineStr">
        <is>
          <t>Schedule the next timed practice only after targeted revision and record the new result.</t>
        </is>
      </c>
      <c r="C13" s="6" t="inlineStr">
        <is>
          <t>Visible GitHub state, command output, or documented decision</t>
        </is>
      </c>
      <c r="D13" s="7" t="inlineStr">
        <is>
          <t>Sample evidence recorded</t>
        </is>
      </c>
      <c r="E13" s="7" t="inlineStr">
        <is>
          <t>https://github.com/example/evidence/lab-14/step-09</t>
        </is>
      </c>
      <c r="F13" s="7" t="inlineStr">
        <is>
          <t>Complete</t>
        </is>
      </c>
      <c r="G13" s="6" t="inlineStr">
        <is>
          <t>Meets acceptance criterion</t>
        </is>
      </c>
      <c r="H13" s="7" t="inlineStr">
        <is>
          <t>18 August 2026</t>
        </is>
      </c>
    </row>
  </sheetData>
  <autoFilter ref="A4:H13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Domain scores are entered</t>
        </is>
      </c>
      <c r="B5" s="7" t="inlineStr">
        <is>
          <t>Evidence Log step 2</t>
        </is>
      </c>
      <c r="C5" s="7" t="inlineStr">
        <is>
          <t>Met</t>
        </is>
      </c>
      <c r="D5" s="6" t="inlineStr">
        <is>
          <t>Accepted</t>
        </is>
      </c>
      <c r="E5" s="7" t="inlineStr"/>
    </row>
    <row r="6">
      <c r="A6" s="6" t="inlineStr">
        <is>
          <t>Priorities use weighted gaps</t>
        </is>
      </c>
      <c r="B6" s="7" t="inlineStr">
        <is>
          <t>Evidence Log step 4</t>
        </is>
      </c>
      <c r="C6" s="7" t="inlineStr">
        <is>
          <t>Met</t>
        </is>
      </c>
      <c r="D6" s="6" t="inlineStr">
        <is>
          <t>Accepted</t>
        </is>
      </c>
      <c r="E6" s="7" t="inlineStr"/>
    </row>
    <row r="7">
      <c r="A7" s="6" t="inlineStr">
        <is>
          <t>Study plan links to hands-on evidence</t>
        </is>
      </c>
      <c r="B7" s="7" t="inlineStr">
        <is>
          <t>Evidence Log step 6</t>
        </is>
      </c>
      <c r="C7" s="7" t="inlineStr">
        <is>
          <t>Met</t>
        </is>
      </c>
      <c r="D7" s="6" t="inlineStr">
        <is>
          <t>Accepted</t>
        </is>
      </c>
      <c r="E7" s="7" t="inlineStr"/>
    </row>
    <row r="8">
      <c r="A8" s="6" t="inlineStr">
        <is>
          <t>Exam-day requirements are confirmed</t>
        </is>
      </c>
      <c r="B8" s="7" t="inlineStr">
        <is>
          <t>Evidence Log step 8</t>
        </is>
      </c>
      <c r="C8" s="7" t="inlineStr">
        <is>
          <t>Met</t>
        </is>
      </c>
      <c r="D8" s="6" t="inlineStr">
        <is>
          <t>Accepted</t>
        </is>
      </c>
      <c r="E8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Verification</t>
        </is>
      </c>
      <c r="C5" s="7" t="inlineStr">
        <is>
          <t>Confirm final state</t>
        </is>
      </c>
      <c r="D5" s="7" t="inlineStr">
        <is>
          <t>Passed</t>
        </is>
      </c>
      <c r="E5" s="7" t="inlineStr">
        <is>
          <t>Acceptance criterion met</t>
        </is>
      </c>
      <c r="F5" s="7" t="inlineStr">
        <is>
          <t>Acceptance Check</t>
        </is>
      </c>
    </row>
    <row r="6">
      <c r="A6" s="6" t="n">
        <v>2</v>
      </c>
      <c r="B6" s="7" t="inlineStr">
        <is>
          <t>Verification</t>
        </is>
      </c>
      <c r="C6" s="7" t="inlineStr">
        <is>
          <t>Confirm final state</t>
        </is>
      </c>
      <c r="D6" s="7" t="inlineStr">
        <is>
          <t>Passed</t>
        </is>
      </c>
      <c r="E6" s="7" t="inlineStr">
        <is>
          <t>Acceptance criterion met</t>
        </is>
      </c>
      <c r="F6" s="7" t="inlineStr">
        <is>
          <t>Acceptance Check</t>
        </is>
      </c>
    </row>
    <row r="7">
      <c r="A7" s="6" t="n">
        <v>3</v>
      </c>
      <c r="B7" s="7" t="n"/>
      <c r="C7" s="7" t="n"/>
      <c r="D7" s="7" t="n"/>
      <c r="E7" s="7" t="n"/>
      <c r="F7" s="7" t="n"/>
    </row>
    <row r="8">
      <c r="A8" s="6" t="n">
        <v>4</v>
      </c>
      <c r="B8" s="7" t="n"/>
      <c r="C8" s="7" t="n"/>
      <c r="D8" s="7" t="n"/>
      <c r="E8" s="7" t="n"/>
      <c r="F8" s="7" t="n"/>
    </row>
    <row r="9">
      <c r="A9" s="6" t="n">
        <v>5</v>
      </c>
      <c r="B9" s="7" t="n"/>
      <c r="C9" s="7" t="n"/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Log'!F5:F13,"Complete")</f>
        <v/>
      </c>
      <c r="C5" s="6" t="n">
        <v>9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Log'!E5:E13,"?*")</f>
        <v/>
      </c>
      <c r="C6" s="6" t="n">
        <v>9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Check'!D5:D8,"Accepted")</f>
        <v/>
      </c>
      <c r="C7" s="6" t="n">
        <v>4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Log'!G5:G13,"?*")</f>
        <v/>
      </c>
      <c r="C8" s="6" t="n">
        <v>9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6" customWidth="1" min="5" max="5"/>
    <col width="16" customWidth="1" min="6" max="6"/>
    <col width="14" customWidth="1" min="7" max="7"/>
    <col width="20" customWidth="1" min="8" max="8"/>
  </cols>
  <sheetData>
    <row r="1" ht="34" customHeight="1">
      <c r="A1" s="1" t="inlineStr">
        <is>
          <t>GH-900 Weighted Readiness</t>
        </is>
      </c>
    </row>
    <row r="2">
      <c r="A2" s="2" t="inlineStr">
        <is>
          <t>Enter practice scores. Priority = midpoint weighting × remaining gap.</t>
        </is>
      </c>
    </row>
    <row r="4">
      <c r="A4" s="8" t="inlineStr">
        <is>
          <t>Domain</t>
        </is>
      </c>
      <c r="B4" s="8" t="inlineStr">
        <is>
          <t>Weight min</t>
        </is>
      </c>
      <c r="C4" s="8" t="inlineStr">
        <is>
          <t>Weight max</t>
        </is>
      </c>
      <c r="D4" s="8" t="inlineStr">
        <is>
          <t>Midpoint</t>
        </is>
      </c>
      <c r="E4" s="8" t="inlineStr">
        <is>
          <t>Practice score</t>
        </is>
      </c>
      <c r="F4" s="8" t="inlineStr">
        <is>
          <t>Priority score</t>
        </is>
      </c>
      <c r="G4" s="8" t="inlineStr">
        <is>
          <t>Priority rank</t>
        </is>
      </c>
      <c r="H4" s="8" t="inlineStr">
        <is>
          <t>Action</t>
        </is>
      </c>
    </row>
    <row r="5">
      <c r="A5" s="6" t="inlineStr">
        <is>
          <t>Understand Git and GitHub Basics</t>
        </is>
      </c>
      <c r="B5" s="10" t="n">
        <v>0.25</v>
      </c>
      <c r="C5" s="10" t="n">
        <v>0.3</v>
      </c>
      <c r="D5" s="10">
        <f>AVERAGE(B5:C5)</f>
        <v/>
      </c>
      <c r="E5" s="11" t="n">
        <v>0.72</v>
      </c>
      <c r="F5" s="10">
        <f>D5*(1-E5)</f>
        <v/>
      </c>
      <c r="G5" s="6">
        <f>RANK(F5,$F$5:$F$11,0)</f>
        <v/>
      </c>
      <c r="H5" s="6">
        <f>IF(G5&lt;=3,"Revise first","Maintain")</f>
        <v/>
      </c>
    </row>
    <row r="6">
      <c r="A6" s="6" t="inlineStr">
        <is>
          <t>Work with GitHub Repositories</t>
        </is>
      </c>
      <c r="B6" s="10" t="n">
        <v>0.1</v>
      </c>
      <c r="C6" s="10" t="n">
        <v>0.15</v>
      </c>
      <c r="D6" s="10">
        <f>AVERAGE(B6:C6)</f>
        <v/>
      </c>
      <c r="E6" s="11" t="n">
        <v>0.58</v>
      </c>
      <c r="F6" s="10">
        <f>D6*(1-E6)</f>
        <v/>
      </c>
      <c r="G6" s="6">
        <f>RANK(F6,$F$5:$F$11,0)</f>
        <v/>
      </c>
      <c r="H6" s="6">
        <f>IF(G6&lt;=3,"Revise first","Maintain")</f>
        <v/>
      </c>
    </row>
    <row r="7">
      <c r="A7" s="6" t="inlineStr">
        <is>
          <t>Collaborate Using GitHub</t>
        </is>
      </c>
      <c r="B7" s="10" t="n">
        <v>0.1</v>
      </c>
      <c r="C7" s="10" t="n">
        <v>0.15</v>
      </c>
      <c r="D7" s="10">
        <f>AVERAGE(B7:C7)</f>
        <v/>
      </c>
      <c r="E7" s="11" t="n">
        <v>0.64</v>
      </c>
      <c r="F7" s="10">
        <f>D7*(1-E7)</f>
        <v/>
      </c>
      <c r="G7" s="6">
        <f>RANK(F7,$F$5:$F$11,0)</f>
        <v/>
      </c>
      <c r="H7" s="6">
        <f>IF(G7&lt;=3,"Revise first","Maintain")</f>
        <v/>
      </c>
    </row>
    <row r="8">
      <c r="A8" s="6" t="inlineStr">
        <is>
          <t>Apply Modern Development Practices</t>
        </is>
      </c>
      <c r="B8" s="10" t="n">
        <v>0.1</v>
      </c>
      <c r="C8" s="10" t="n">
        <v>0.15</v>
      </c>
      <c r="D8" s="10">
        <f>AVERAGE(B8:C8)</f>
        <v/>
      </c>
      <c r="E8" s="11" t="n">
        <v>0.55</v>
      </c>
      <c r="F8" s="10">
        <f>D8*(1-E8)</f>
        <v/>
      </c>
      <c r="G8" s="6">
        <f>RANK(F8,$F$5:$F$11,0)</f>
        <v/>
      </c>
      <c r="H8" s="6">
        <f>IF(G8&lt;=3,"Revise first","Maintain")</f>
        <v/>
      </c>
    </row>
    <row r="9">
      <c r="A9" s="6" t="inlineStr">
        <is>
          <t>Manage Projects with GitHub</t>
        </is>
      </c>
      <c r="B9" s="10" t="n">
        <v>0.05</v>
      </c>
      <c r="C9" s="10" t="n">
        <v>0.1</v>
      </c>
      <c r="D9" s="10">
        <f>AVERAGE(B9:C9)</f>
        <v/>
      </c>
      <c r="E9" s="11" t="n">
        <v>0.75</v>
      </c>
      <c r="F9" s="10">
        <f>D9*(1-E9)</f>
        <v/>
      </c>
      <c r="G9" s="6">
        <f>RANK(F9,$F$5:$F$11,0)</f>
        <v/>
      </c>
      <c r="H9" s="6">
        <f>IF(G9&lt;=3,"Revise first","Maintain")</f>
        <v/>
      </c>
    </row>
    <row r="10">
      <c r="A10" s="6" t="inlineStr">
        <is>
          <t>Understand Privacy, Security and Administration</t>
        </is>
      </c>
      <c r="B10" s="10" t="n">
        <v>0.1</v>
      </c>
      <c r="C10" s="10" t="n">
        <v>0.15</v>
      </c>
      <c r="D10" s="10">
        <f>AVERAGE(B10:C10)</f>
        <v/>
      </c>
      <c r="E10" s="11" t="n">
        <v>0.6</v>
      </c>
      <c r="F10" s="10">
        <f>D10*(1-E10)</f>
        <v/>
      </c>
      <c r="G10" s="6">
        <f>RANK(F10,$F$5:$F$11,0)</f>
        <v/>
      </c>
      <c r="H10" s="6">
        <f>IF(G10&lt;=3,"Revise first","Maintain")</f>
        <v/>
      </c>
    </row>
    <row r="11">
      <c r="A11" s="6" t="inlineStr">
        <is>
          <t>Explore the GitHub Community</t>
        </is>
      </c>
      <c r="B11" s="10" t="n">
        <v>0.05</v>
      </c>
      <c r="C11" s="10" t="n">
        <v>0.1</v>
      </c>
      <c r="D11" s="10">
        <f>AVERAGE(B11:C11)</f>
        <v/>
      </c>
      <c r="E11" s="11" t="n">
        <v>0.68</v>
      </c>
      <c r="F11" s="10">
        <f>D11*(1-E11)</f>
        <v/>
      </c>
      <c r="G11" s="6">
        <f>RANK(F11,$F$5:$F$11,0)</f>
        <v/>
      </c>
      <c r="H11" s="6">
        <f>IF(G11&lt;=3,"Revise first","Maintain")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