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Exam Readiness" sheetId="6" state="visible" r:id="rId6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Revision Priority by Domain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'Exam Readiness'!F4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 Readiness'!$A$5:$A$11</f>
            </numRef>
          </cat>
          <val>
            <numRef>
              <f>'Exam Readiness'!$F$5:$F$11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Weighted gap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14 — Build a GH-900 Readiness Plan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Explore the GitHub Community (5–10%)</t>
        </is>
      </c>
    </row>
    <row r="5">
      <c r="A5" s="3" t="inlineStr">
        <is>
          <t>Objective</t>
        </is>
      </c>
      <c r="B5" s="4" t="inlineStr">
        <is>
          <t>Use evidence and weighted scores to close exam-readiness gaps by domain.</t>
        </is>
      </c>
    </row>
    <row r="6">
      <c r="A6" s="3" t="inlineStr">
        <is>
          <t>Scenario</t>
        </is>
      </c>
      <c r="B6" s="4" t="inlineStr">
        <is>
          <t>The learner has completed the practical work and needs a targeted final revision plan.</t>
        </is>
      </c>
    </row>
    <row r="7">
      <c r="A7" s="3" t="inlineStr">
        <is>
          <t>Deliverable</t>
        </is>
      </c>
      <c r="B7" s="4" t="inlineStr">
        <is>
          <t>A weighted GH-900 readiness dashboard and two-day revision plan</t>
        </is>
      </c>
    </row>
    <row r="8">
      <c r="A8" s="3" t="inlineStr">
        <is>
          <t>Tools</t>
        </is>
      </c>
      <c r="B8" s="4" t="inlineStr">
        <is>
          <t>Official Microsoft practice assessment, Tertiary practice exam, Excel readiness dashboard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Complete the official Microsoft practice assessment under timed, distraction-free conditions.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Complete the Tertiary practice exam and record the date, mode and total score.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Enter each domain score in the Excel Exam Readiness sheet.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Review the weighted priority calculation and identify the top three revision domains.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Link each weak objective to a relevant slide, Learner Guide section and lab evidence item.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Redo at least one command or configuration task from each priority domain without copying the previous procedure.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Write a two-day study plan with specific objectives, activities and retest times.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Confirm the booking, personal Microsoft account, accepted ID and exam-environment requirements.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Schedule the next timed practice only after targeted revision and record the new result.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Domain scores are entered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Priorities use weighted gaps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Study plan links to hands-on evidence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Exam-day requirements are confirmed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n"/>
      <c r="C5" s="7" t="n"/>
      <c r="D5" s="7" t="n"/>
      <c r="E5" s="7" t="n"/>
      <c r="F5" s="7" t="n"/>
    </row>
    <row r="6">
      <c r="A6" s="6" t="n">
        <v>2</v>
      </c>
      <c r="B6" s="7" t="n"/>
      <c r="C6" s="7" t="n"/>
      <c r="D6" s="7" t="n"/>
      <c r="E6" s="7" t="n"/>
      <c r="F6" s="7" t="n"/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0" customWidth="1" min="8" max="8"/>
  </cols>
  <sheetData>
    <row r="1" ht="34" customHeight="1">
      <c r="A1" s="1" t="inlineStr">
        <is>
          <t>GH-900 Weighted Readiness</t>
        </is>
      </c>
    </row>
    <row r="2">
      <c r="A2" s="2" t="inlineStr">
        <is>
          <t>Enter practice scores. Priority = midpoint weighting × remaining gap.</t>
        </is>
      </c>
    </row>
    <row r="4">
      <c r="A4" s="8" t="inlineStr">
        <is>
          <t>Domain</t>
        </is>
      </c>
      <c r="B4" s="8" t="inlineStr">
        <is>
          <t>Weight min</t>
        </is>
      </c>
      <c r="C4" s="8" t="inlineStr">
        <is>
          <t>Weight max</t>
        </is>
      </c>
      <c r="D4" s="8" t="inlineStr">
        <is>
          <t>Midpoint</t>
        </is>
      </c>
      <c r="E4" s="8" t="inlineStr">
        <is>
          <t>Practice score</t>
        </is>
      </c>
      <c r="F4" s="8" t="inlineStr">
        <is>
          <t>Priority score</t>
        </is>
      </c>
      <c r="G4" s="8" t="inlineStr">
        <is>
          <t>Priority rank</t>
        </is>
      </c>
      <c r="H4" s="8" t="inlineStr">
        <is>
          <t>Action</t>
        </is>
      </c>
    </row>
    <row r="5">
      <c r="A5" s="6" t="inlineStr">
        <is>
          <t>Understand Git and GitHub Basics</t>
        </is>
      </c>
      <c r="B5" s="10" t="n">
        <v>0.25</v>
      </c>
      <c r="C5" s="10" t="n">
        <v>0.3</v>
      </c>
      <c r="D5" s="10">
        <f>AVERAGE(B5:C5)</f>
        <v/>
      </c>
      <c r="E5" s="11" t="n">
        <v>0</v>
      </c>
      <c r="F5" s="10">
        <f>D5*(1-E5)</f>
        <v/>
      </c>
      <c r="G5" s="6">
        <f>RANK(F5,$F$5:$F$11,0)</f>
        <v/>
      </c>
      <c r="H5" s="6">
        <f>IF(G5&lt;=3,"Revise first","Maintain")</f>
        <v/>
      </c>
    </row>
    <row r="6">
      <c r="A6" s="6" t="inlineStr">
        <is>
          <t>Work with GitHub Repositories</t>
        </is>
      </c>
      <c r="B6" s="10" t="n">
        <v>0.1</v>
      </c>
      <c r="C6" s="10" t="n">
        <v>0.15</v>
      </c>
      <c r="D6" s="10">
        <f>AVERAGE(B6:C6)</f>
        <v/>
      </c>
      <c r="E6" s="11" t="n">
        <v>0</v>
      </c>
      <c r="F6" s="10">
        <f>D6*(1-E6)</f>
        <v/>
      </c>
      <c r="G6" s="6">
        <f>RANK(F6,$F$5:$F$11,0)</f>
        <v/>
      </c>
      <c r="H6" s="6">
        <f>IF(G6&lt;=3,"Revise first","Maintain")</f>
        <v/>
      </c>
    </row>
    <row r="7">
      <c r="A7" s="6" t="inlineStr">
        <is>
          <t>Collaborate Using GitHub</t>
        </is>
      </c>
      <c r="B7" s="10" t="n">
        <v>0.1</v>
      </c>
      <c r="C7" s="10" t="n">
        <v>0.15</v>
      </c>
      <c r="D7" s="10">
        <f>AVERAGE(B7:C7)</f>
        <v/>
      </c>
      <c r="E7" s="11" t="n">
        <v>0</v>
      </c>
      <c r="F7" s="10">
        <f>D7*(1-E7)</f>
        <v/>
      </c>
      <c r="G7" s="6">
        <f>RANK(F7,$F$5:$F$11,0)</f>
        <v/>
      </c>
      <c r="H7" s="6">
        <f>IF(G7&lt;=3,"Revise first","Maintain")</f>
        <v/>
      </c>
    </row>
    <row r="8">
      <c r="A8" s="6" t="inlineStr">
        <is>
          <t>Apply Modern Development Practices</t>
        </is>
      </c>
      <c r="B8" s="10" t="n">
        <v>0.1</v>
      </c>
      <c r="C8" s="10" t="n">
        <v>0.15</v>
      </c>
      <c r="D8" s="10">
        <f>AVERAGE(B8:C8)</f>
        <v/>
      </c>
      <c r="E8" s="11" t="n">
        <v>0</v>
      </c>
      <c r="F8" s="10">
        <f>D8*(1-E8)</f>
        <v/>
      </c>
      <c r="G8" s="6">
        <f>RANK(F8,$F$5:$F$11,0)</f>
        <v/>
      </c>
      <c r="H8" s="6">
        <f>IF(G8&lt;=3,"Revise first","Maintain")</f>
        <v/>
      </c>
    </row>
    <row r="9">
      <c r="A9" s="6" t="inlineStr">
        <is>
          <t>Manage Projects with GitHub</t>
        </is>
      </c>
      <c r="B9" s="10" t="n">
        <v>0.05</v>
      </c>
      <c r="C9" s="10" t="n">
        <v>0.1</v>
      </c>
      <c r="D9" s="10">
        <f>AVERAGE(B9:C9)</f>
        <v/>
      </c>
      <c r="E9" s="11" t="n">
        <v>0</v>
      </c>
      <c r="F9" s="10">
        <f>D9*(1-E9)</f>
        <v/>
      </c>
      <c r="G9" s="6">
        <f>RANK(F9,$F$5:$F$11,0)</f>
        <v/>
      </c>
      <c r="H9" s="6">
        <f>IF(G9&lt;=3,"Revise first","Maintain")</f>
        <v/>
      </c>
    </row>
    <row r="10">
      <c r="A10" s="6" t="inlineStr">
        <is>
          <t>Understand Privacy, Security and Administration</t>
        </is>
      </c>
      <c r="B10" s="10" t="n">
        <v>0.1</v>
      </c>
      <c r="C10" s="10" t="n">
        <v>0.15</v>
      </c>
      <c r="D10" s="10">
        <f>AVERAGE(B10:C10)</f>
        <v/>
      </c>
      <c r="E10" s="11" t="n">
        <v>0</v>
      </c>
      <c r="F10" s="10">
        <f>D10*(1-E10)</f>
        <v/>
      </c>
      <c r="G10" s="6">
        <f>RANK(F10,$F$5:$F$11,0)</f>
        <v/>
      </c>
      <c r="H10" s="6">
        <f>IF(G10&lt;=3,"Revise first","Maintain")</f>
        <v/>
      </c>
    </row>
    <row r="11">
      <c r="A11" s="6" t="inlineStr">
        <is>
          <t>Explore the GitHub Community</t>
        </is>
      </c>
      <c r="B11" s="10" t="n">
        <v>0.05</v>
      </c>
      <c r="C11" s="10" t="n">
        <v>0.1</v>
      </c>
      <c r="D11" s="10">
        <f>AVERAGE(B11:C11)</f>
        <v/>
      </c>
      <c r="E11" s="11" t="n">
        <v>0</v>
      </c>
      <c r="F11" s="10">
        <f>D11*(1-E11)</f>
        <v/>
      </c>
      <c r="G11" s="6">
        <f>RANK(F11,$F$5:$F$11,0)</f>
        <v/>
      </c>
      <c r="H11" s="6">
        <f>IF(G11&lt;=3,"Revise first","Maintain")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