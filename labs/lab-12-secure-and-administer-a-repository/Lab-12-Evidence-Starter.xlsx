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b Brief" sheetId="1" state="visible" r:id="rId1"/>
    <sheet xmlns:r="http://schemas.openxmlformats.org/officeDocument/2006/relationships" name="Evidence Log" sheetId="2" state="visible" r:id="rId2"/>
    <sheet xmlns:r="http://schemas.openxmlformats.org/officeDocument/2006/relationships" name="Acceptance Check" sheetId="3" state="visible" r:id="rId3"/>
    <sheet xmlns:r="http://schemas.openxmlformats.org/officeDocument/2006/relationships" name="Command and Decision Log" sheetId="4" state="visible" r:id="rId4"/>
    <sheet xmlns:r="http://schemas.openxmlformats.org/officeDocument/2006/relationships" name="Dashboard" sheetId="5" state="visible" r:id="rId5"/>
  </sheets>
  <definedNames>
    <definedName name="_xlnm._FilterDatabase" localSheetId="1" hidden="1">'Evidence Log'!$A$4:$H$21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i val="1"/>
      <color rgb="005B6372"/>
      <sz val="10"/>
    </font>
    <font>
      <name val="Arial"/>
      <b val="1"/>
      <color rgb="001F6FEB"/>
      <sz val="10"/>
    </font>
    <font>
      <name val="Arial"/>
      <color rgb="00161B26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F5F8FC"/>
      </patternFill>
    </fill>
    <fill>
      <patternFill patternType="solid">
        <fgColor rgb="0010B981"/>
      </patternFill>
    </fill>
    <fill>
      <patternFill patternType="solid">
        <fgColor rgb="00FFF7CC"/>
      </patternFill>
    </fill>
    <fill>
      <patternFill patternType="solid">
        <fgColor rgb="007C3AED"/>
      </patternFill>
    </fill>
    <fill>
      <patternFill patternType="solid">
        <fgColor rgb="00F59E0B"/>
      </patternFill>
    </fill>
  </fills>
  <borders count="2">
    <border>
      <left/>
      <right/>
      <top/>
      <bottom/>
      <diagonal/>
    </border>
    <border>
      <bottom style="thin">
        <color rgb="00DDE3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Completion vs Target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'Dashboard'!$B$5:$B$8</f>
            </numRef>
          </val>
        </ser>
        <ser>
          <idx val="1"/>
          <order val="1"/>
          <tx>
            <strRef>
              <f>'Dashboard'!C4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'Dashboard'!$A$5:$A$8</f>
            </numRef>
          </cat>
          <val>
            <numRef>
              <f>'Dashboard'!$C$5:$C$8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34" customHeight="1">
      <c r="A1" s="1" t="inlineStr">
        <is>
          <t>Lab 12 — Secure and Administer a Repository</t>
        </is>
      </c>
    </row>
    <row r="2">
      <c r="A2" s="2" t="inlineStr">
        <is>
          <t>Git and Github Masterclass · C171 · Version v2.2</t>
        </is>
      </c>
    </row>
    <row r="4">
      <c r="A4" s="3" t="inlineStr">
        <is>
          <t>Exam domain</t>
        </is>
      </c>
      <c r="B4" s="4" t="inlineStr">
        <is>
          <t>Understand Privacy, Security and Administration (10–15%)</t>
        </is>
      </c>
    </row>
    <row r="5">
      <c r="A5" s="3" t="inlineStr">
        <is>
          <t>Objective</t>
        </is>
      </c>
      <c r="B5" s="4" t="inlineStr">
        <is>
          <t>Apply identity, access, branch and supply-chain controls to a repository.</t>
        </is>
      </c>
    </row>
    <row r="6">
      <c r="A6" s="3" t="inlineStr">
        <is>
          <t>Scenario</t>
        </is>
      </c>
      <c r="B6" s="4" t="inlineStr">
        <is>
          <t>The release repository must prevent unsafe changes and surface security findings early.</t>
        </is>
      </c>
    </row>
    <row r="7">
      <c r="A7" s="3" t="inlineStr">
        <is>
          <t>Deliverable</t>
        </is>
      </c>
      <c r="B7" s="4" t="inlineStr">
        <is>
          <t>A repository security baseline with authentication comparison, access rationale, ruleset design, CODEOWNERS and scanning evidence</t>
        </is>
      </c>
    </row>
    <row r="8">
      <c r="A8" s="3" t="inlineStr">
        <is>
          <t>Tools</t>
        </is>
      </c>
      <c r="B8" s="4" t="inlineStr">
        <is>
          <t>Authentication settings, PAT and SSH key configuration, security settings, Dependabot, code scanning, secret scanning concepts, roles, rulesets, Excel workbook</t>
        </is>
      </c>
    </row>
    <row r="9">
      <c r="A9" s="3" t="inlineStr">
        <is>
          <t>Workbook status</t>
        </is>
      </c>
      <c r="B9" s="4" t="inlineStr">
        <is>
          <t>Starter — enter your evidence in blue input cells</t>
        </is>
      </c>
    </row>
  </sheetData>
  <mergeCells count="8">
    <mergeCell ref="B8:H8"/>
    <mergeCell ref="B9:H9"/>
    <mergeCell ref="B4:H4"/>
    <mergeCell ref="A2:H2"/>
    <mergeCell ref="B6:H6"/>
    <mergeCell ref="B7:H7"/>
    <mergeCell ref="A1:H1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28" customWidth="1" min="3" max="3"/>
    <col width="28" customWidth="1" min="4" max="4"/>
    <col width="38" customWidth="1" min="5" max="5"/>
    <col width="14" customWidth="1" min="6" max="6"/>
    <col width="28" customWidth="1" min="7" max="7"/>
    <col width="18" customWidth="1" min="8" max="8"/>
  </cols>
  <sheetData>
    <row r="1" ht="34" customHeight="1">
      <c r="A1" s="1" t="inlineStr">
        <is>
          <t>Evidence Log</t>
        </is>
      </c>
    </row>
    <row r="2">
      <c r="A2" s="2" t="inlineStr">
        <is>
          <t>Record what you did, the result, and where the evidence can be verified.</t>
        </is>
      </c>
    </row>
    <row r="4">
      <c r="A4" s="5" t="inlineStr">
        <is>
          <t>Step</t>
        </is>
      </c>
      <c r="B4" s="5" t="inlineStr">
        <is>
          <t>Action / decision</t>
        </is>
      </c>
      <c r="C4" s="5" t="inlineStr">
        <is>
          <t>Expected evidence</t>
        </is>
      </c>
      <c r="D4" s="5" t="inlineStr">
        <is>
          <t>Actual result</t>
        </is>
      </c>
      <c r="E4" s="5" t="inlineStr">
        <is>
          <t>URL / screenshot ref</t>
        </is>
      </c>
      <c r="F4" s="5" t="inlineStr">
        <is>
          <t>Status</t>
        </is>
      </c>
      <c r="G4" s="5" t="inlineStr">
        <is>
          <t>Reviewer notes</t>
        </is>
      </c>
      <c r="H4" s="5" t="inlineStr">
        <is>
          <t>Timestamp</t>
        </is>
      </c>
    </row>
    <row r="5">
      <c r="A5" s="6" t="n">
        <v>1</v>
      </c>
      <c r="B5" s="6" t="inlineStr">
        <is>
          <t>Run git remote -v on the training clone and identify whether the remote is HTTPS or SSH, and which credential each protocol requires.</t>
        </is>
      </c>
      <c r="C5" s="6" t="inlineStr">
        <is>
          <t>Visible GitHub state, command output, or documented decision</t>
        </is>
      </c>
      <c r="D5" s="7" t="inlineStr"/>
      <c r="E5" s="7" t="inlineStr"/>
      <c r="F5" s="7" t="inlineStr">
        <is>
          <t>Not started</t>
        </is>
      </c>
      <c r="G5" s="6" t="inlineStr"/>
      <c r="H5" s="7" t="inlineStr"/>
    </row>
    <row r="6">
      <c r="A6" s="6" t="n">
        <v>2</v>
      </c>
      <c r="B6" s="6" t="inlineStr">
        <is>
          <t>Create a fine-grained personal access token scoped to the training repository with the minimum permissions, note its expiry, and record why username-and-password authentication is no longer accepted for Git operations.</t>
        </is>
      </c>
      <c r="C6" s="6" t="inlineStr">
        <is>
          <t>Visible GitHub state, command output, or documented decision</t>
        </is>
      </c>
      <c r="D6" s="7" t="inlineStr"/>
      <c r="E6" s="7" t="inlineStr"/>
      <c r="F6" s="7" t="inlineStr">
        <is>
          <t>Not started</t>
        </is>
      </c>
      <c r="G6" s="6" t="inlineStr"/>
      <c r="H6" s="7" t="inlineStr"/>
    </row>
    <row r="7">
      <c r="A7" s="6" t="n">
        <v>3</v>
      </c>
      <c r="B7" s="6" t="inlineStr">
        <is>
          <t>Generate an SSH key with ssh-keygen -t ed25519, add the public key to the GitHub account, verify with ssh -T git@github.com and switch the remote with git remote set-url origin.</t>
        </is>
      </c>
      <c r="C7" s="6" t="inlineStr">
        <is>
          <t>Visible GitHub state, command output, or documented decision</t>
        </is>
      </c>
      <c r="D7" s="7" t="inlineStr"/>
      <c r="E7" s="7" t="inlineStr"/>
      <c r="F7" s="7" t="inlineStr">
        <is>
          <t>Not started</t>
        </is>
      </c>
      <c r="G7" s="6" t="inlineStr"/>
      <c r="H7" s="7" t="inlineStr"/>
    </row>
    <row r="8">
      <c r="A8" s="6" t="n">
        <v>4</v>
      </c>
      <c r="B8" s="6" t="inlineStr">
        <is>
          <t>Compare classic PAT, fine-grained PAT, SSH key and deploy key on scope, expiry, revocation and best-fit use case, and state where a deploy key is preferable for a CI server. Never record any token or private key in the workbook.</t>
        </is>
      </c>
      <c r="C8" s="6" t="inlineStr">
        <is>
          <t>Visible GitHub state, command output, or documented decision</t>
        </is>
      </c>
      <c r="D8" s="7" t="inlineStr"/>
      <c r="E8" s="7" t="inlineStr"/>
      <c r="F8" s="7" t="inlineStr">
        <is>
          <t>Not started</t>
        </is>
      </c>
      <c r="G8" s="6" t="inlineStr"/>
      <c r="H8" s="7" t="inlineStr"/>
    </row>
    <row r="9">
      <c r="A9" s="6" t="n">
        <v>5</v>
      </c>
      <c r="B9" s="6" t="inlineStr">
        <is>
          <t>Review the account's 2FA configuration and compare security keys, TOTP apps, SMS and passkeys on strength and recovery risk.</t>
        </is>
      </c>
      <c r="C9" s="6" t="inlineStr">
        <is>
          <t>Visible GitHub state, command output, or documented decision</t>
        </is>
      </c>
      <c r="D9" s="7" t="inlineStr"/>
      <c r="E9" s="7" t="inlineStr"/>
      <c r="F9" s="7" t="inlineStr">
        <is>
          <t>Not started</t>
        </is>
      </c>
      <c r="G9" s="6" t="inlineStr"/>
      <c r="H9" s="7" t="inlineStr"/>
    </row>
    <row r="10">
      <c r="A10" s="6" t="n">
        <v>6</v>
      </c>
      <c r="B10" s="6" t="inlineStr">
        <is>
          <t>Confirm repository visibility and explain public, private and internal visibility boundaries.</t>
        </is>
      </c>
      <c r="C10" s="6" t="inlineStr">
        <is>
          <t>Visible GitHub state, command output, or documented decision</t>
        </is>
      </c>
      <c r="D10" s="7" t="inlineStr"/>
      <c r="E10" s="7" t="inlineStr"/>
      <c r="F10" s="7" t="inlineStr">
        <is>
          <t>Not started</t>
        </is>
      </c>
      <c r="G10" s="6" t="inlineStr"/>
      <c r="H10" s="7" t="inlineStr"/>
    </row>
    <row r="11">
      <c r="A11" s="6" t="n">
        <v>7</v>
      </c>
      <c r="B11" s="6" t="inlineStr">
        <is>
          <t>Review collaborator or team roles and apply least-privilege reasoning to sample personas using the read, triage, write, maintain and admin levels.</t>
        </is>
      </c>
      <c r="C11" s="6" t="inlineStr">
        <is>
          <t>Visible GitHub state, command output, or documented decision</t>
        </is>
      </c>
      <c r="D11" s="7" t="inlineStr"/>
      <c r="E11" s="7" t="inlineStr"/>
      <c r="F11" s="7" t="inlineStr">
        <is>
          <t>Not started</t>
        </is>
      </c>
      <c r="G11" s="6" t="inlineStr"/>
      <c r="H11" s="7" t="inlineStr"/>
    </row>
    <row r="12">
      <c r="A12" s="6" t="n">
        <v>8</v>
      </c>
      <c r="B12" s="6" t="inlineStr">
        <is>
          <t>Design or configure a main-branch ruleset requiring a pull request and status checks.</t>
        </is>
      </c>
      <c r="C12" s="6" t="inlineStr">
        <is>
          <t>Visible GitHub state, command output, or documented decision</t>
        </is>
      </c>
      <c r="D12" s="7" t="inlineStr"/>
      <c r="E12" s="7" t="inlineStr"/>
      <c r="F12" s="7" t="inlineStr">
        <is>
          <t>Not started</t>
        </is>
      </c>
      <c r="G12" s="6" t="inlineStr"/>
      <c r="H12" s="7" t="inlineStr"/>
    </row>
    <row r="13">
      <c r="A13" s="6" t="n">
        <v>9</v>
      </c>
      <c r="B13" s="6" t="inlineStr">
        <is>
          <t>Add a CODEOWNERS file that assigns a reviewer to a documentation path and verify that a pull request touching that path requests the owner.</t>
        </is>
      </c>
      <c r="C13" s="6" t="inlineStr">
        <is>
          <t>Visible GitHub state, command output, or documented decision</t>
        </is>
      </c>
      <c r="D13" s="7" t="inlineStr"/>
      <c r="E13" s="7" t="inlineStr"/>
      <c r="F13" s="7" t="inlineStr">
        <is>
          <t>Not started</t>
        </is>
      </c>
      <c r="G13" s="6" t="inlineStr"/>
      <c r="H13" s="7" t="inlineStr"/>
    </row>
    <row r="14">
      <c r="A14" s="6" t="n">
        <v>10</v>
      </c>
      <c r="B14" s="6" t="inlineStr">
        <is>
          <t>Add a .gitignore entry for a build or secret path, then demonstrate with git rm --cached why an already-tracked file keeps being committed until it is untracked.</t>
        </is>
      </c>
      <c r="C14" s="6" t="inlineStr">
        <is>
          <t>Visible GitHub state, command output, or documented decision</t>
        </is>
      </c>
      <c r="D14" s="7" t="inlineStr"/>
      <c r="E14" s="7" t="inlineStr"/>
      <c r="F14" s="7" t="inlineStr">
        <is>
          <t>Not started</t>
        </is>
      </c>
      <c r="G14" s="6" t="inlineStr"/>
      <c r="H14" s="7" t="inlineStr"/>
    </row>
    <row r="15">
      <c r="A15" s="6" t="n">
        <v>11</v>
      </c>
      <c r="B15" s="6" t="inlineStr">
        <is>
          <t>Enable the dependency graph and Dependabot alerts where available, and distinguish alerts, security updates and version updates.</t>
        </is>
      </c>
      <c r="C15" s="6" t="inlineStr">
        <is>
          <t>Visible GitHub state, command output, or documented decision</t>
        </is>
      </c>
      <c r="D15" s="7" t="inlineStr"/>
      <c r="E15" s="7" t="inlineStr"/>
      <c r="F15" s="7" t="inlineStr">
        <is>
          <t>Not started</t>
        </is>
      </c>
      <c r="G15" s="6" t="inlineStr"/>
      <c r="H15" s="7" t="inlineStr"/>
    </row>
    <row r="16">
      <c r="A16" s="6" t="n">
        <v>12</v>
      </c>
      <c r="B16" s="6" t="inlineStr">
        <is>
          <t>Configure Dependabot version updates using .github/dependabot.yml on a branch and review through a pull request.</t>
        </is>
      </c>
      <c r="C16" s="6" t="inlineStr">
        <is>
          <t>Visible GitHub state, command output, or documented decision</t>
        </is>
      </c>
      <c r="D16" s="7" t="inlineStr"/>
      <c r="E16" s="7" t="inlineStr"/>
      <c r="F16" s="7" t="inlineStr">
        <is>
          <t>Not started</t>
        </is>
      </c>
      <c r="G16" s="6" t="inlineStr"/>
      <c r="H16" s="7" t="inlineStr"/>
    </row>
    <row r="17">
      <c r="A17" s="6" t="n">
        <v>13</v>
      </c>
      <c r="B17" s="6" t="inlineStr">
        <is>
          <t>Enable default code scanning setup or review the instructor demonstration, and note the difference between default and advanced setup and the push, pull_request and schedule triggers.</t>
        </is>
      </c>
      <c r="C17" s="6" t="inlineStr">
        <is>
          <t>Visible GitHub state, command output, or documented decision</t>
        </is>
      </c>
      <c r="D17" s="7" t="inlineStr"/>
      <c r="E17" s="7" t="inlineStr"/>
      <c r="F17" s="7" t="inlineStr">
        <is>
          <t>Not started</t>
        </is>
      </c>
      <c r="G17" s="6" t="inlineStr"/>
      <c r="H17" s="7" t="inlineStr"/>
    </row>
    <row r="18">
      <c r="A18" s="6" t="n">
        <v>14</v>
      </c>
      <c r="B18" s="6" t="inlineStr">
        <is>
          <t>Review secret-scanning and push-protection behaviour without committing a real secret.</t>
        </is>
      </c>
      <c r="C18" s="6" t="inlineStr">
        <is>
          <t>Visible GitHub state, command output, or documented decision</t>
        </is>
      </c>
      <c r="D18" s="7" t="inlineStr"/>
      <c r="E18" s="7" t="inlineStr"/>
      <c r="F18" s="7" t="inlineStr">
        <is>
          <t>Not started</t>
        </is>
      </c>
      <c r="G18" s="6" t="inlineStr"/>
      <c r="H18" s="7" t="inlineStr"/>
    </row>
    <row r="19">
      <c r="A19" s="6" t="n">
        <v>15</v>
      </c>
      <c r="B19" s="6" t="inlineStr">
        <is>
          <t>Add a SECURITY.md file describing how to report a vulnerability, and locate where a security advisory would be raised.</t>
        </is>
      </c>
      <c r="C19" s="6" t="inlineStr">
        <is>
          <t>Visible GitHub state, command output, or documented decision</t>
        </is>
      </c>
      <c r="D19" s="7" t="inlineStr"/>
      <c r="E19" s="7" t="inlineStr"/>
      <c r="F19" s="7" t="inlineStr">
        <is>
          <t>Not started</t>
        </is>
      </c>
      <c r="G19" s="6" t="inlineStr"/>
      <c r="H19" s="7" t="inlineStr"/>
    </row>
    <row r="20">
      <c r="A20" s="6" t="n">
        <v>16</v>
      </c>
      <c r="B20" s="6" t="inlineStr">
        <is>
          <t>Compare organisation-owned accounts, Enterprise Managed Users and personal accounts.</t>
        </is>
      </c>
      <c r="C20" s="6" t="inlineStr">
        <is>
          <t>Visible GitHub state, command output, or documented decision</t>
        </is>
      </c>
      <c r="D20" s="7" t="inlineStr"/>
      <c r="E20" s="7" t="inlineStr"/>
      <c r="F20" s="7" t="inlineStr">
        <is>
          <t>Not started</t>
        </is>
      </c>
      <c r="G20" s="6" t="inlineStr"/>
      <c r="H20" s="7" t="inlineStr"/>
    </row>
    <row r="21">
      <c r="A21" s="6" t="n">
        <v>17</v>
      </c>
      <c r="B21" s="6" t="inlineStr">
        <is>
          <t>Record control, threat, evidence, owner and residual risk in Excel.</t>
        </is>
      </c>
      <c r="C21" s="6" t="inlineStr">
        <is>
          <t>Visible GitHub state, command output, or documented decision</t>
        </is>
      </c>
      <c r="D21" s="7" t="inlineStr"/>
      <c r="E21" s="7" t="inlineStr"/>
      <c r="F21" s="7" t="inlineStr">
        <is>
          <t>Not started</t>
        </is>
      </c>
      <c r="G21" s="6" t="inlineStr"/>
      <c r="H21" s="7" t="inlineStr"/>
    </row>
  </sheetData>
  <autoFilter ref="A4:H21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6" customWidth="1" min="3" max="3"/>
    <col width="18" customWidth="1" min="4" max="4"/>
    <col width="32" customWidth="1" min="5" max="5"/>
  </cols>
  <sheetData>
    <row r="1" ht="34" customHeight="1">
      <c r="A1" s="1" t="inlineStr">
        <is>
          <t>Acceptance Check</t>
        </is>
      </c>
    </row>
    <row r="2">
      <c r="A2" s="2" t="inlineStr">
        <is>
          <t>The lab is complete only when every criterion is evidenced.</t>
        </is>
      </c>
    </row>
    <row r="4">
      <c r="A4" s="8" t="inlineStr">
        <is>
          <t>Criterion</t>
        </is>
      </c>
      <c r="B4" s="8" t="inlineStr">
        <is>
          <t>Evidence reference</t>
        </is>
      </c>
      <c r="C4" s="8" t="inlineStr">
        <is>
          <t>Self-check</t>
        </is>
      </c>
      <c r="D4" s="8" t="inlineStr">
        <is>
          <t>Reviewer decision</t>
        </is>
      </c>
      <c r="E4" s="8" t="inlineStr">
        <is>
          <t>Gap / next action</t>
        </is>
      </c>
    </row>
    <row r="5">
      <c r="A5" s="6" t="inlineStr">
        <is>
          <t>Authentication methods are compared with a chosen default</t>
        </is>
      </c>
      <c r="B5" s="7" t="inlineStr"/>
      <c r="C5" s="7" t="inlineStr">
        <is>
          <t>Not checked</t>
        </is>
      </c>
      <c r="D5" s="6" t="inlineStr">
        <is>
          <t>Pending</t>
        </is>
      </c>
      <c r="E5" s="7" t="inlineStr">
        <is>
          <t>Add evidence and verify</t>
        </is>
      </c>
    </row>
    <row r="6">
      <c r="A6" s="6" t="inlineStr">
        <is>
          <t>Least privilege is justified</t>
        </is>
      </c>
      <c r="B6" s="7" t="inlineStr"/>
      <c r="C6" s="7" t="inlineStr">
        <is>
          <t>Not checked</t>
        </is>
      </c>
      <c r="D6" s="6" t="inlineStr">
        <is>
          <t>Pending</t>
        </is>
      </c>
      <c r="E6" s="7" t="inlineStr">
        <is>
          <t>Add evidence and verify</t>
        </is>
      </c>
    </row>
    <row r="7">
      <c r="A7" s="6" t="inlineStr">
        <is>
          <t>Branch rule and CODEOWNERS are documented</t>
        </is>
      </c>
      <c r="B7" s="7" t="inlineStr"/>
      <c r="C7" s="7" t="inlineStr">
        <is>
          <t>Not checked</t>
        </is>
      </c>
      <c r="D7" s="6" t="inlineStr">
        <is>
          <t>Pending</t>
        </is>
      </c>
      <c r="E7" s="7" t="inlineStr">
        <is>
          <t>Add evidence and verify</t>
        </is>
      </c>
    </row>
    <row r="8">
      <c r="A8" s="6" t="inlineStr">
        <is>
          <t>Security features are distinguished</t>
        </is>
      </c>
      <c r="B8" s="7" t="inlineStr"/>
      <c r="C8" s="7" t="inlineStr">
        <is>
          <t>Not checked</t>
        </is>
      </c>
      <c r="D8" s="6" t="inlineStr">
        <is>
          <t>Pending</t>
        </is>
      </c>
      <c r="E8" s="7" t="inlineStr">
        <is>
          <t>Add evidence and verify</t>
        </is>
      </c>
    </row>
    <row r="9">
      <c r="A9" s="6" t="inlineStr">
        <is>
          <t>No real secret, token or key is recorded</t>
        </is>
      </c>
      <c r="B9" s="7" t="inlineStr"/>
      <c r="C9" s="7" t="inlineStr">
        <is>
          <t>Not checked</t>
        </is>
      </c>
      <c r="D9" s="6" t="inlineStr">
        <is>
          <t>Pending</t>
        </is>
      </c>
      <c r="E9" s="7" t="inlineStr">
        <is>
          <t>Add evidence and verify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30" customWidth="1" min="3" max="3"/>
    <col width="30" customWidth="1" min="4" max="4"/>
    <col width="36" customWidth="1" min="5" max="5"/>
    <col width="28" customWidth="1" min="6" max="6"/>
  </cols>
  <sheetData>
    <row r="1" ht="34" customHeight="1">
      <c r="A1" s="1" t="inlineStr">
        <is>
          <t>Command and Decision Log</t>
        </is>
      </c>
    </row>
    <row r="2">
      <c r="A2" s="2" t="inlineStr">
        <is>
          <t>Use this sheet for Git commands, GitHub settings and reasoning.</t>
        </is>
      </c>
    </row>
    <row r="4">
      <c r="A4" s="9" t="inlineStr">
        <is>
          <t>No.</t>
        </is>
      </c>
      <c r="B4" s="9" t="inlineStr">
        <is>
          <t>Command / setting</t>
        </is>
      </c>
      <c r="C4" s="9" t="inlineStr">
        <is>
          <t>Purpose</t>
        </is>
      </c>
      <c r="D4" s="9" t="inlineStr">
        <is>
          <t>Result / output</t>
        </is>
      </c>
      <c r="E4" s="9" t="inlineStr">
        <is>
          <t>Decision / interpretation</t>
        </is>
      </c>
      <c r="F4" s="9" t="inlineStr">
        <is>
          <t>Evidence ref</t>
        </is>
      </c>
    </row>
    <row r="5">
      <c r="A5" s="6" t="n">
        <v>1</v>
      </c>
      <c r="B5" s="7" t="inlineStr">
        <is>
          <t>git remote -v</t>
        </is>
      </c>
      <c r="C5" s="7" t="inlineStr">
        <is>
          <t>Identify whether a remote uses HTTPS or SSH</t>
        </is>
      </c>
      <c r="D5" s="7" t="n"/>
      <c r="E5" s="7" t="n"/>
      <c r="F5" s="7" t="n"/>
    </row>
    <row r="6">
      <c r="A6" s="6" t="n">
        <v>2</v>
      </c>
      <c r="B6" s="7" t="inlineStr">
        <is>
          <t>ssh-keygen -t ed25519 -C "you@example.com"</t>
        </is>
      </c>
      <c r="C6" s="7" t="inlineStr">
        <is>
          <t>Generate an SSH key pair</t>
        </is>
      </c>
      <c r="D6" s="7" t="n"/>
      <c r="E6" s="7" t="n"/>
      <c r="F6" s="7" t="n"/>
    </row>
    <row r="7">
      <c r="A7" s="6" t="n">
        <v>3</v>
      </c>
      <c r="B7" s="7" t="inlineStr">
        <is>
          <t>ssh -T git@github.com</t>
        </is>
      </c>
      <c r="C7" s="7" t="inlineStr">
        <is>
          <t>Test SSH authentication to GitHub</t>
        </is>
      </c>
      <c r="D7" s="7" t="n"/>
      <c r="E7" s="7" t="n"/>
      <c r="F7" s="7" t="n"/>
    </row>
    <row r="8">
      <c r="A8" s="6" t="n">
        <v>4</v>
      </c>
      <c r="B8" s="7" t="inlineStr">
        <is>
          <t>git remote set-url origin &lt;ssh-url&gt;</t>
        </is>
      </c>
      <c r="C8" s="7" t="inlineStr">
        <is>
          <t>Switch a remote from HTTPS to SSH</t>
        </is>
      </c>
      <c r="D8" s="7" t="n"/>
      <c r="E8" s="7" t="n"/>
      <c r="F8" s="7" t="n"/>
    </row>
    <row r="9">
      <c r="A9" s="6" t="n">
        <v>5</v>
      </c>
      <c r="B9" s="7" t="inlineStr">
        <is>
          <t>git rm --cached &lt;file&gt;</t>
        </is>
      </c>
      <c r="C9" s="7" t="inlineStr">
        <is>
          <t>Stop tracking a file that should be ignored</t>
        </is>
      </c>
      <c r="D9" s="7" t="n"/>
      <c r="E9" s="7" t="n"/>
      <c r="F9" s="7" t="n"/>
    </row>
    <row r="10">
      <c r="A10" s="6" t="n">
        <v>6</v>
      </c>
      <c r="B10" s="7" t="n"/>
      <c r="C10" s="7" t="n"/>
      <c r="D10" s="7" t="n"/>
      <c r="E10" s="7" t="n"/>
      <c r="F10" s="7" t="n"/>
    </row>
    <row r="11">
      <c r="A11" s="6" t="n">
        <v>7</v>
      </c>
      <c r="B11" s="7" t="n"/>
      <c r="C11" s="7" t="n"/>
      <c r="D11" s="7" t="n"/>
      <c r="E11" s="7" t="n"/>
      <c r="F11" s="7" t="n"/>
    </row>
    <row r="12">
      <c r="A12" s="6" t="n">
        <v>8</v>
      </c>
      <c r="B12" s="7" t="n"/>
      <c r="C12" s="7" t="n"/>
      <c r="D12" s="7" t="n"/>
      <c r="E12" s="7" t="n"/>
      <c r="F12" s="7" t="n"/>
    </row>
    <row r="13">
      <c r="A13" s="6" t="n">
        <v>9</v>
      </c>
      <c r="B13" s="7" t="n"/>
      <c r="C13" s="7" t="n"/>
      <c r="D13" s="7" t="n"/>
      <c r="E13" s="7" t="n"/>
      <c r="F13" s="7" t="n"/>
    </row>
    <row r="14">
      <c r="A14" s="6" t="n">
        <v>10</v>
      </c>
      <c r="B14" s="7" t="n"/>
      <c r="C14" s="7" t="n"/>
      <c r="D14" s="7" t="n"/>
      <c r="E14" s="7" t="n"/>
      <c r="F14" s="7" t="n"/>
    </row>
    <row r="15">
      <c r="A15" s="6" t="n">
        <v>11</v>
      </c>
      <c r="B15" s="7" t="n"/>
      <c r="C15" s="7" t="n"/>
      <c r="D15" s="7" t="n"/>
      <c r="E15" s="7" t="n"/>
      <c r="F15" s="7" t="n"/>
    </row>
    <row r="16">
      <c r="A16" s="6" t="n">
        <v>12</v>
      </c>
      <c r="B16" s="7" t="n"/>
      <c r="C16" s="7" t="n"/>
      <c r="D16" s="7" t="n"/>
      <c r="E16" s="7" t="n"/>
      <c r="F16" s="7" t="n"/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</cols>
  <sheetData>
    <row r="1" ht="34" customHeight="1">
      <c r="A1" s="1" t="inlineStr">
        <is>
          <t>Lab Dashboard</t>
        </is>
      </c>
    </row>
    <row r="2">
      <c r="A2" s="2" t="inlineStr">
        <is>
          <t>Formula-driven completion and evidence summary.</t>
        </is>
      </c>
    </row>
    <row r="4">
      <c r="A4" s="5" t="inlineStr">
        <is>
          <t>Metric</t>
        </is>
      </c>
      <c r="B4" s="5" t="inlineStr">
        <is>
          <t>Value</t>
        </is>
      </c>
      <c r="C4" s="5" t="inlineStr">
        <is>
          <t>Target</t>
        </is>
      </c>
      <c r="D4" s="5" t="inlineStr">
        <is>
          <t>Status</t>
        </is>
      </c>
    </row>
    <row r="5">
      <c r="A5" s="6" t="inlineStr">
        <is>
          <t>Steps complete</t>
        </is>
      </c>
      <c r="B5" s="6">
        <f>COUNTIF('Evidence Log'!F5:F21,"Complete")</f>
        <v/>
      </c>
      <c r="C5" s="6" t="n">
        <v>17</v>
      </c>
      <c r="D5" s="6">
        <f>IF(B5&gt;=C5,"Met","Gap")</f>
        <v/>
      </c>
    </row>
    <row r="6">
      <c r="A6" s="6" t="inlineStr">
        <is>
          <t>Evidence links</t>
        </is>
      </c>
      <c r="B6" s="6">
        <f>COUNTIF('Evidence Log'!E5:E21,"?*")</f>
        <v/>
      </c>
      <c r="C6" s="6" t="n">
        <v>17</v>
      </c>
      <c r="D6" s="6">
        <f>IF(B6&gt;=C6,"Met","Gap")</f>
        <v/>
      </c>
    </row>
    <row r="7">
      <c r="A7" s="6" t="inlineStr">
        <is>
          <t>Criteria accepted</t>
        </is>
      </c>
      <c r="B7" s="6">
        <f>COUNTIF('Acceptance Check'!D5:D9,"Accepted")</f>
        <v/>
      </c>
      <c r="C7" s="6" t="n">
        <v>5</v>
      </c>
      <c r="D7" s="6">
        <f>IF(B7&gt;=C7,"Met","Gap")</f>
        <v/>
      </c>
    </row>
    <row r="8">
      <c r="A8" s="6" t="inlineStr">
        <is>
          <t>Reviewer notes</t>
        </is>
      </c>
      <c r="B8" s="6">
        <f>COUNTIF('Evidence Log'!G5:G21,"?*")</f>
        <v/>
      </c>
      <c r="C8" s="6" t="n">
        <v>17</v>
      </c>
      <c r="D8" s="6">
        <f>IF(B8&gt;=C8,"Met","Gap")</f>
        <v/>
      </c>
    </row>
  </sheetData>
  <mergeCells count="2">
    <mergeCell ref="A2:H2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2026-08-18T12:01:55Z</dcterms:created>
  <dcterms:modified xmlns:dcterms="http://purl.org/dc/terms/" xmlns:xsi="http://www.w3.org/2001/XMLSchema-instance" xsi:type="dcterms:W3CDTF">2026-08-18T12:01:55Z</dcterms:modified>
</cp:coreProperties>
</file>